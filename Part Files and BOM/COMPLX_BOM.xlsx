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84007397980/WOPIServiceId_TP_BOX_2/WOPIUserId_-/"/>
    </mc:Choice>
  </mc:AlternateContent>
  <xr:revisionPtr revIDLastSave="289" documentId="13_ncr:1_{07EBE40E-8349-475D-912A-A85626BB4845}" xr6:coauthVersionLast="47" xr6:coauthVersionMax="47" xr10:uidLastSave="{40C2A833-6533-4D1D-8F72-82BEB1FEE31A}"/>
  <bookViews>
    <workbookView xWindow="7428" yWindow="0" windowWidth="15708" windowHeight="12336" xr2:uid="{4D4B2BA8-929D-4C51-9B0F-E69E48422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26" i="1"/>
  <c r="G25" i="1"/>
  <c r="G24" i="1"/>
  <c r="G23" i="1"/>
  <c r="G39" i="1"/>
  <c r="G16" i="1"/>
  <c r="G15" i="1"/>
  <c r="G14" i="1"/>
  <c r="G31" i="1"/>
  <c r="G3" i="1"/>
  <c r="G20" i="1"/>
  <c r="G21" i="1"/>
  <c r="G22" i="1"/>
  <c r="G28" i="1"/>
  <c r="G29" i="1"/>
  <c r="G30" i="1"/>
  <c r="G32" i="1"/>
  <c r="G33" i="1"/>
  <c r="G37" i="1"/>
  <c r="G5" i="1"/>
  <c r="G6" i="1"/>
  <c r="G7" i="1"/>
  <c r="G8" i="1"/>
  <c r="G9" i="1"/>
  <c r="G13" i="1"/>
  <c r="G10" i="1"/>
  <c r="G11" i="1"/>
  <c r="G12" i="1"/>
  <c r="G4" i="1"/>
  <c r="G53" i="1" l="1"/>
  <c r="G54" i="1" s="1"/>
</calcChain>
</file>

<file path=xl/sharedStrings.xml><?xml version="1.0" encoding="utf-8"?>
<sst xmlns="http://schemas.openxmlformats.org/spreadsheetml/2006/main" count="203" uniqueCount="133">
  <si>
    <t>Material</t>
  </si>
  <si>
    <t>Number</t>
  </si>
  <si>
    <t>Description</t>
  </si>
  <si>
    <t>Link</t>
  </si>
  <si>
    <t>Linear Actuator</t>
  </si>
  <si>
    <t>500mm</t>
  </si>
  <si>
    <t>https://ooznest.co.uk/product/mini-v-linear-actuator-kit/#length</t>
  </si>
  <si>
    <t>Motor</t>
  </si>
  <si>
    <t>Motor Driver</t>
  </si>
  <si>
    <t>https://uk.farnell.com/dfrobot/dri0043/stepper-motor-driver-4a-9v-to/dp/3517878</t>
  </si>
  <si>
    <t>Arduino</t>
  </si>
  <si>
    <t>https://uk.rs-online.com/web/p/arduino/1927590?gb=a</t>
  </si>
  <si>
    <t>12V DC Supply</t>
  </si>
  <si>
    <t>https://uk.rs-online.com/web/p/ac-dc-adapters/1753310</t>
  </si>
  <si>
    <t>Cable Mount</t>
  </si>
  <si>
    <t>https://uk.rs-online.com/web/p/dc-power-connectors/1792860</t>
  </si>
  <si>
    <t>Mini Vacuum</t>
  </si>
  <si>
    <t>https://www.mouser.co.uk/ProductDetail/SparkFun/ROB-10398?qs=WyAARYrbSnaW%252B0ieELD1FQ%3D%3D</t>
  </si>
  <si>
    <t>Servo Motors</t>
  </si>
  <si>
    <t>https://uk.rs-online.com/web/p/stem-motion-components/2153180</t>
  </si>
  <si>
    <t>Z-Axis Linear Actuator</t>
  </si>
  <si>
    <t>https://uk.rs-online.com/web/p/electric-linear-actuators/5101091?searchId=2ede3070-08aa-4e1e-927f-483a743afa06</t>
  </si>
  <si>
    <t>Eleveflow OB1</t>
  </si>
  <si>
    <t>https://darwin-microfluidics.com/products/ob1-mk4-flow-controller</t>
  </si>
  <si>
    <t>https://darwin-microfluidics.com/products/microfluidic-caps-and-glass-reservoir-bottle</t>
  </si>
  <si>
    <t>https://darwin-microfluidics.com/products/50-ml-falcon-tube-microfluidic-reservoir-m-2-4-port</t>
  </si>
  <si>
    <t>Whisper Valves 3/2</t>
  </si>
  <si>
    <t>https://darwin-microfluidics.com/products/3-2-way-bistable-whisper-valve-type-6724/</t>
  </si>
  <si>
    <t>Flow Sensor (1000ul/min)</t>
  </si>
  <si>
    <t>https://www.mouser.co.uk/ProductDetail/Sensirion/LG16-1000D-1000-ul-min?qs=xZ%2FP%252Ba9zWqakiDmqzvSsnA%3D%3D</t>
  </si>
  <si>
    <t>Flow Sensor (7ul/min)</t>
  </si>
  <si>
    <t>https://www.mouser.co.uk/ProductDetail/Sensirion/LG16-0150D-7000-nl-min?qs=xZ%2FP%252Ba9zWqbB7d5u%252Bk31zw%3D%3D</t>
  </si>
  <si>
    <t>Silicone Tubing</t>
  </si>
  <si>
    <t>https://darwin-microfluidics.com/products/platinum-cured-silicone-tubing-15-m</t>
  </si>
  <si>
    <t>Large Silicone Tubing</t>
  </si>
  <si>
    <t>https://uk.rs-online.com/web/p/hose-pipe-flexible-tubes/4189999?gb=a</t>
  </si>
  <si>
    <t>Bubble Sensors</t>
  </si>
  <si>
    <t>https://uk.farnell.com/panasonic/be-a201p/optical-bubble-sensor-2mm-tube/dp/4077840</t>
  </si>
  <si>
    <t>Robot Arm</t>
  </si>
  <si>
    <t>https://uk.robotshop.com/products/dobot-mg400-robotic-arm</t>
  </si>
  <si>
    <t>Cost/Unit</t>
  </si>
  <si>
    <t>Total</t>
  </si>
  <si>
    <t xml:space="preserve">Total </t>
  </si>
  <si>
    <t>Total - OB1</t>
  </si>
  <si>
    <t>Supplier</t>
  </si>
  <si>
    <t>Ooznest</t>
  </si>
  <si>
    <t>Farnell</t>
  </si>
  <si>
    <t>RS</t>
  </si>
  <si>
    <t>Mouser</t>
  </si>
  <si>
    <t>Darwin Microfluidics</t>
  </si>
  <si>
    <t>Robot Shop</t>
  </si>
  <si>
    <t>Mechanical and Electronic</t>
  </si>
  <si>
    <t xml:space="preserve">Microfluidic </t>
  </si>
  <si>
    <t>DFRobot DRI0043 / TB6600 stepper driver, four units, configured to 0.5 A and 1/4 microstepping</t>
  </si>
  <si>
    <t>2x Nano Every or 1x Uno</t>
  </si>
  <si>
    <t>12 V DC, 1.5 A, 18 W</t>
  </si>
  <si>
    <t>AIRPO D2028B miniature vacuum pump, 12 V DC</t>
  </si>
  <si>
    <t>4-Core Cables (</t>
  </si>
  <si>
    <t>SG90 micro servo, 5 V</t>
  </si>
  <si>
    <t>Portescap two-phase stepper linear actuator, 8.9 N force, 48 mm travel, 12 V</t>
  </si>
  <si>
    <t>1704HS168AW-AB NEMA 17 stepper motor, 1.8°/step, 1.68 A, approximately 3.5 kg·cm.</t>
  </si>
  <si>
    <t>https://ooznest.co.uk/product/1000mm-nema17-hybrid-bipolar-stepper-motor-wire/</t>
  </si>
  <si>
    <t>Motor Cables</t>
  </si>
  <si>
    <t xml:space="preserve">Limit Switch </t>
  </si>
  <si>
    <t>With above, inc cable</t>
  </si>
  <si>
    <t>https://ooznest.co.uk/product/micro-limit-switch/</t>
  </si>
  <si>
    <t>With cables</t>
  </si>
  <si>
    <t>With electromagnetic gripper</t>
  </si>
  <si>
    <t>Tygon ND 100-80 Tubing</t>
  </si>
  <si>
    <t>Various Sizes required (0.25x0.76,0.51x1.52,1.02x1.78,1.27x2.29)</t>
  </si>
  <si>
    <t>https://darwin-microfluidics.com/products/tygon-nd-100-80-micro-tubing</t>
  </si>
  <si>
    <t>Breadboard</t>
  </si>
  <si>
    <t>https://uk.rs-online.com/web/p/breadboards/2153175</t>
  </si>
  <si>
    <t>Micro USB Cable</t>
  </si>
  <si>
    <t>https://uk.rs-online.com/web/p/usb-cables/1828496</t>
  </si>
  <si>
    <t xml:space="preserve">Custom Made Parts </t>
  </si>
  <si>
    <t>Item</t>
  </si>
  <si>
    <t>Gantry Top-Mount</t>
  </si>
  <si>
    <t>Pinch Valve Holders</t>
  </si>
  <si>
    <t>PLA 3D Print</t>
  </si>
  <si>
    <t>PLA 3D Print - 1x6 + 1x3</t>
  </si>
  <si>
    <t>Reservoir Holders</t>
  </si>
  <si>
    <t>Solenoid Valve Rack</t>
  </si>
  <si>
    <t>Flow Sensor Rack</t>
  </si>
  <si>
    <t>Well plate holder</t>
  </si>
  <si>
    <t>PLA 3D Print - 1xDock, 6x plate holders</t>
  </si>
  <si>
    <t>Flow Switch Plate</t>
  </si>
  <si>
    <t xml:space="preserve">Resin 3D Print </t>
  </si>
  <si>
    <t>Manifold Plate</t>
  </si>
  <si>
    <t>End Effector Pincers</t>
  </si>
  <si>
    <t xml:space="preserve">6061 Aluminium, Machined </t>
  </si>
  <si>
    <t>Manifold Nozzles</t>
  </si>
  <si>
    <t>316 Stainess, Machined</t>
  </si>
  <si>
    <t>In House</t>
  </si>
  <si>
    <t>-</t>
  </si>
  <si>
    <t>Four channels, 0-2bar</t>
  </si>
  <si>
    <t>With 1/4-28 Fittings</t>
  </si>
  <si>
    <t>Will require jumper wires (either soldered or solderless)</t>
  </si>
  <si>
    <t>Silicone Stoppers</t>
  </si>
  <si>
    <t>https://www.fishersci.co.uk/shop/products/standard-bungs-silicone-rubber/30286536</t>
  </si>
  <si>
    <t>Fisher Scientific</t>
  </si>
  <si>
    <t>O-Rings</t>
  </si>
  <si>
    <t>https://uk.rs-online.com/web/p/products/1965657/</t>
  </si>
  <si>
    <t>For lipid library nozzles (7 mm ID, 10mm OD)</t>
  </si>
  <si>
    <t>1/4-28 Flangless Fittings</t>
  </si>
  <si>
    <t>https://darwin-microfluidics.com/products/microfluidic-flangeless-fittings-1-4-28-to-1-16-od-tubing</t>
  </si>
  <si>
    <t>(Pack of 10 inc ferrules)</t>
  </si>
  <si>
    <t>10-32 Flangless Fittings</t>
  </si>
  <si>
    <t>https://darwin-microfluidics.com/products/10-32-flat-bottom-peek-fittings-ferrules-pack-of-10</t>
  </si>
  <si>
    <t>For lipid library nozzle connections</t>
  </si>
  <si>
    <t>https://darwin-microfluidics.com/products/male-luer-to-barbed-adapter-10-pack-pp/</t>
  </si>
  <si>
    <t>Male Luer to Barbed Adapter</t>
  </si>
  <si>
    <t>For gas line connection</t>
  </si>
  <si>
    <t>1/4-28 to Barbed</t>
  </si>
  <si>
    <t>https://darwin-microfluidics.com/products/1-4-28-swivel-to-3-32-id-adapter-for-4-mm-tubing</t>
  </si>
  <si>
    <t>CAD in repository</t>
  </si>
  <si>
    <t>For gas lines</t>
  </si>
  <si>
    <t>0.5*0.8. For pinch valve</t>
  </si>
  <si>
    <t>10 week lead time (Mouser alternate supplier)</t>
  </si>
  <si>
    <t>Capiliary Tubing</t>
  </si>
  <si>
    <t>1/4-28 Union</t>
  </si>
  <si>
    <t>Tygon S3 3603</t>
  </si>
  <si>
    <t>Bottle Reservoir Cap</t>
  </si>
  <si>
    <t>40ml Reservoir Cap</t>
  </si>
  <si>
    <t>For 1L Duran Bottle, PTFE</t>
  </si>
  <si>
    <t>For 40ml Falcon Tubes</t>
  </si>
  <si>
    <t>https://darwin-microfluidics.com/products/1-16-od-peek-capillary-tubing</t>
  </si>
  <si>
    <t>https://darwin-microfluidics.com/products/tygon-s3-e-3603-tubing</t>
  </si>
  <si>
    <t>1/16" 65 micron ID. 15m</t>
  </si>
  <si>
    <t>1.6 x 3.2 mm. For pinch valve coupling</t>
  </si>
  <si>
    <t>Barbed T-junction</t>
  </si>
  <si>
    <t>https://darwin-microfluidics.com/products/t-barbed-adapter-10-pack-pp/</t>
  </si>
  <si>
    <t>1/16"  (10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</si>
</sst>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8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rs-online.com/web/p/electric-linear-actuators/5101091?searchId=2ede3070-08aa-4e1e-927f-483a743afa06" TargetMode="External"/><Relationship Id="rId13" Type="http://schemas.openxmlformats.org/officeDocument/2006/relationships/hyperlink" Target="https://www.mouser.co.uk/ProductDetail/Sensirion/LG16-0150D-7000-nl-min?qs=xZ%2FP%252Ba9zWqbB7d5u%252Bk31zw%3D%3D" TargetMode="External"/><Relationship Id="rId18" Type="http://schemas.openxmlformats.org/officeDocument/2006/relationships/hyperlink" Target="https://darwin-microfluidics.com/products/3-2-way-bistable-whisper-valve-type-6724/" TargetMode="External"/><Relationship Id="rId26" Type="http://schemas.openxmlformats.org/officeDocument/2006/relationships/hyperlink" Target="https://darwin-microfluidics.com/products/microfluidic-flangeless-fittings-1-4-28-to-1-16-od-tubing" TargetMode="External"/><Relationship Id="rId3" Type="http://schemas.openxmlformats.org/officeDocument/2006/relationships/hyperlink" Target="https://uk.rs-online.com/web/p/arduino/1927590?gb=a" TargetMode="External"/><Relationship Id="rId21" Type="http://schemas.openxmlformats.org/officeDocument/2006/relationships/hyperlink" Target="https://darwin-microfluidics.com/products/tygon-nd-100-80-micro-tubing" TargetMode="External"/><Relationship Id="rId7" Type="http://schemas.openxmlformats.org/officeDocument/2006/relationships/hyperlink" Target="https://uk.rs-online.com/web/p/stem-motion-components/2153180" TargetMode="External"/><Relationship Id="rId12" Type="http://schemas.openxmlformats.org/officeDocument/2006/relationships/hyperlink" Target="https://www.mouser.co.uk/ProductDetail/Sensirion/LG16-1000D-1000-ul-min?qs=xZ%2FP%252Ba9zWqakiDmqzvSsnA%3D%3D" TargetMode="External"/><Relationship Id="rId17" Type="http://schemas.openxmlformats.org/officeDocument/2006/relationships/hyperlink" Target="https://uk.robotshop.com/products/dobot-mg400-robotic-arm" TargetMode="External"/><Relationship Id="rId25" Type="http://schemas.openxmlformats.org/officeDocument/2006/relationships/hyperlink" Target="https://uk.rs-online.com/web/p/products/1965657/" TargetMode="External"/><Relationship Id="rId2" Type="http://schemas.openxmlformats.org/officeDocument/2006/relationships/hyperlink" Target="https://uk.farnell.com/dfrobot/dri0043/stepper-motor-driver-4a-9v-to/dp/3517878" TargetMode="External"/><Relationship Id="rId16" Type="http://schemas.openxmlformats.org/officeDocument/2006/relationships/hyperlink" Target="https://uk.farnell.com/panasonic/be-a201p/optical-bubble-sensor-2mm-tube/dp/4077840" TargetMode="External"/><Relationship Id="rId20" Type="http://schemas.openxmlformats.org/officeDocument/2006/relationships/hyperlink" Target="https://ooznest.co.uk/product/micro-limit-switch/" TargetMode="External"/><Relationship Id="rId29" Type="http://schemas.openxmlformats.org/officeDocument/2006/relationships/hyperlink" Target="https://darwin-microfluidics.com/products/1-4-28-swivel-to-3-32-id-adapter-for-4-mm-tubing" TargetMode="External"/><Relationship Id="rId1" Type="http://schemas.openxmlformats.org/officeDocument/2006/relationships/hyperlink" Target="https://ooznest.co.uk/product/mini-v-linear-actuator-kit/" TargetMode="External"/><Relationship Id="rId6" Type="http://schemas.openxmlformats.org/officeDocument/2006/relationships/hyperlink" Target="https://www.mouser.co.uk/ProductDetail/SparkFun/ROB-10398?qs=WyAARYrbSnaW%252B0ieELD1FQ%3D%3D" TargetMode="External"/><Relationship Id="rId11" Type="http://schemas.openxmlformats.org/officeDocument/2006/relationships/hyperlink" Target="https://darwin-microfluidics.com/products/50-ml-falcon-tube-microfluidic-reservoir-m-2-4-port" TargetMode="External"/><Relationship Id="rId24" Type="http://schemas.openxmlformats.org/officeDocument/2006/relationships/hyperlink" Target="https://www.fishersci.co.uk/shop/products/standard-bungs-silicone-rubber/30286536" TargetMode="External"/><Relationship Id="rId32" Type="http://schemas.openxmlformats.org/officeDocument/2006/relationships/hyperlink" Target="https://darwin-microfluidics.com/products/t-barbed-adapter-10-pack-pp/" TargetMode="External"/><Relationship Id="rId5" Type="http://schemas.openxmlformats.org/officeDocument/2006/relationships/hyperlink" Target="https://uk.rs-online.com/web/p/dc-power-connectors/1792860" TargetMode="External"/><Relationship Id="rId15" Type="http://schemas.openxmlformats.org/officeDocument/2006/relationships/hyperlink" Target="https://uk.rs-online.com/web/p/hose-pipe-flexible-tubes/4189999?gb=a" TargetMode="External"/><Relationship Id="rId23" Type="http://schemas.openxmlformats.org/officeDocument/2006/relationships/hyperlink" Target="https://uk.rs-online.com/web/p/usb-cables/1828496" TargetMode="External"/><Relationship Id="rId28" Type="http://schemas.openxmlformats.org/officeDocument/2006/relationships/hyperlink" Target="https://darwin-microfluidics.com/products/male-luer-to-barbed-adapter-10-pack-pp/" TargetMode="External"/><Relationship Id="rId10" Type="http://schemas.openxmlformats.org/officeDocument/2006/relationships/hyperlink" Target="https://darwin-microfluidics.com/products/microfluidic-caps-and-glass-reservoir-bottle" TargetMode="External"/><Relationship Id="rId19" Type="http://schemas.openxmlformats.org/officeDocument/2006/relationships/hyperlink" Target="https://ooznest.co.uk/product/1000mm-nema17-hybrid-bipolar-stepper-motor-wire/" TargetMode="External"/><Relationship Id="rId31" Type="http://schemas.openxmlformats.org/officeDocument/2006/relationships/hyperlink" Target="https://darwin-microfluidics.com/products/tygon-s3-e-3603-tubing" TargetMode="External"/><Relationship Id="rId4" Type="http://schemas.openxmlformats.org/officeDocument/2006/relationships/hyperlink" Target="https://uk.rs-online.com/web/p/ac-dc-adapters/1753310" TargetMode="External"/><Relationship Id="rId9" Type="http://schemas.openxmlformats.org/officeDocument/2006/relationships/hyperlink" Target="https://darwin-microfluidics.com/products/ob1-mk4-flow-controller" TargetMode="External"/><Relationship Id="rId14" Type="http://schemas.openxmlformats.org/officeDocument/2006/relationships/hyperlink" Target="https://darwin-microfluidics.com/products/platinum-cured-silicone-tubing-15-m" TargetMode="External"/><Relationship Id="rId22" Type="http://schemas.openxmlformats.org/officeDocument/2006/relationships/hyperlink" Target="https://uk.rs-online.com/web/p/breadboards/2153175" TargetMode="External"/><Relationship Id="rId27" Type="http://schemas.openxmlformats.org/officeDocument/2006/relationships/hyperlink" Target="https://darwin-microfluidics.com/products/10-32-flat-bottom-peek-fittings-ferrules-pack-of-10" TargetMode="External"/><Relationship Id="rId30" Type="http://schemas.openxmlformats.org/officeDocument/2006/relationships/hyperlink" Target="https://darwin-microfluidics.com/products/1-16-od-peek-capillary-tub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A340-B9BE-4FB2-A2D6-33B073F9E1AA}">
  <dimension ref="A1:G54"/>
  <sheetViews>
    <sheetView tabSelected="1" topLeftCell="A16" zoomScale="63" zoomScaleNormal="55" workbookViewId="0">
      <selection activeCell="G36" sqref="G36"/>
    </sheetView>
  </sheetViews>
  <sheetFormatPr defaultRowHeight="14.4" x14ac:dyDescent="0.3"/>
  <cols>
    <col min="1" max="1" width="23.44140625" bestFit="1" customWidth="1"/>
    <col min="2" max="2" width="8.21875" bestFit="1" customWidth="1"/>
    <col min="3" max="3" width="42.21875" bestFit="1" customWidth="1"/>
    <col min="4" max="4" width="15.109375" bestFit="1" customWidth="1"/>
    <col min="5" max="5" width="77.21875" bestFit="1" customWidth="1"/>
    <col min="6" max="6" width="10.5546875" bestFit="1" customWidth="1"/>
    <col min="7" max="7" width="10.6640625" bestFit="1" customWidth="1"/>
  </cols>
  <sheetData>
    <row r="1" spans="1:7" x14ac:dyDescent="0.3">
      <c r="A1" s="9" t="s">
        <v>51</v>
      </c>
      <c r="B1" s="9"/>
      <c r="C1" s="9"/>
      <c r="D1" s="9"/>
      <c r="E1" s="9"/>
      <c r="F1" s="9"/>
      <c r="G1" s="9"/>
    </row>
    <row r="2" spans="1:7" x14ac:dyDescent="0.3">
      <c r="A2" s="5" t="s">
        <v>76</v>
      </c>
      <c r="B2" s="5" t="s">
        <v>1</v>
      </c>
      <c r="C2" s="5" t="s">
        <v>2</v>
      </c>
      <c r="D2" s="5" t="s">
        <v>44</v>
      </c>
      <c r="E2" s="5" t="s">
        <v>3</v>
      </c>
      <c r="F2" s="6" t="s">
        <v>40</v>
      </c>
      <c r="G2" s="6" t="s">
        <v>41</v>
      </c>
    </row>
    <row r="3" spans="1:7" x14ac:dyDescent="0.3">
      <c r="A3" s="1" t="s">
        <v>38</v>
      </c>
      <c r="B3" s="7">
        <v>1</v>
      </c>
      <c r="C3" s="1" t="s">
        <v>67</v>
      </c>
      <c r="D3" s="1" t="s">
        <v>50</v>
      </c>
      <c r="E3" s="2" t="s">
        <v>39</v>
      </c>
      <c r="F3" s="4">
        <v>1846.15</v>
      </c>
      <c r="G3" s="4">
        <f>B3*F3</f>
        <v>1846.15</v>
      </c>
    </row>
    <row r="4" spans="1:7" ht="28.8" x14ac:dyDescent="0.3">
      <c r="A4" s="1" t="s">
        <v>4</v>
      </c>
      <c r="B4" s="7">
        <v>3</v>
      </c>
      <c r="C4" s="1" t="s">
        <v>5</v>
      </c>
      <c r="D4" s="1" t="s">
        <v>45</v>
      </c>
      <c r="E4" s="2" t="s">
        <v>6</v>
      </c>
      <c r="F4" s="4">
        <v>47.54</v>
      </c>
      <c r="G4" s="4">
        <f t="shared" ref="G4:G12" si="0">B4*F4</f>
        <v>142.62</v>
      </c>
    </row>
    <row r="5" spans="1:7" ht="28.8" x14ac:dyDescent="0.3">
      <c r="A5" s="1" t="s">
        <v>7</v>
      </c>
      <c r="B5" s="7">
        <v>3</v>
      </c>
      <c r="C5" s="1" t="s">
        <v>60</v>
      </c>
      <c r="D5" s="1" t="s">
        <v>45</v>
      </c>
      <c r="E5" s="1" t="s">
        <v>64</v>
      </c>
      <c r="F5" s="4">
        <v>17.82</v>
      </c>
      <c r="G5" s="4">
        <f t="shared" si="0"/>
        <v>53.46</v>
      </c>
    </row>
    <row r="6" spans="1:7" ht="28.8" x14ac:dyDescent="0.3">
      <c r="A6" s="1" t="s">
        <v>8</v>
      </c>
      <c r="B6" s="7">
        <v>4</v>
      </c>
      <c r="C6" s="1" t="s">
        <v>53</v>
      </c>
      <c r="D6" s="1" t="s">
        <v>46</v>
      </c>
      <c r="E6" s="2" t="s">
        <v>9</v>
      </c>
      <c r="F6" s="4">
        <v>18.18</v>
      </c>
      <c r="G6" s="4">
        <f t="shared" si="0"/>
        <v>72.72</v>
      </c>
    </row>
    <row r="7" spans="1:7" x14ac:dyDescent="0.3">
      <c r="A7" s="1" t="s">
        <v>10</v>
      </c>
      <c r="B7" s="7">
        <v>2</v>
      </c>
      <c r="C7" s="1" t="s">
        <v>54</v>
      </c>
      <c r="D7" s="1" t="s">
        <v>47</v>
      </c>
      <c r="E7" s="2" t="s">
        <v>11</v>
      </c>
      <c r="F7" s="4">
        <v>11.18</v>
      </c>
      <c r="G7" s="4">
        <f t="shared" si="0"/>
        <v>22.36</v>
      </c>
    </row>
    <row r="8" spans="1:7" x14ac:dyDescent="0.3">
      <c r="A8" s="1" t="s">
        <v>12</v>
      </c>
      <c r="B8" s="7">
        <v>3</v>
      </c>
      <c r="C8" s="1" t="s">
        <v>55</v>
      </c>
      <c r="D8" s="1" t="s">
        <v>47</v>
      </c>
      <c r="E8" s="2" t="s">
        <v>13</v>
      </c>
      <c r="F8" s="4">
        <v>10.42</v>
      </c>
      <c r="G8" s="4">
        <f t="shared" si="0"/>
        <v>31.259999999999998</v>
      </c>
    </row>
    <row r="9" spans="1:7" x14ac:dyDescent="0.3">
      <c r="A9" s="1" t="s">
        <v>14</v>
      </c>
      <c r="B9" s="7">
        <v>5</v>
      </c>
      <c r="C9" s="1"/>
      <c r="D9" s="1" t="s">
        <v>47</v>
      </c>
      <c r="E9" s="2" t="s">
        <v>15</v>
      </c>
      <c r="F9" s="4">
        <v>2.94</v>
      </c>
      <c r="G9" s="4">
        <f t="shared" si="0"/>
        <v>14.7</v>
      </c>
    </row>
    <row r="10" spans="1:7" ht="28.8" x14ac:dyDescent="0.3">
      <c r="A10" s="1" t="s">
        <v>16</v>
      </c>
      <c r="B10" s="7">
        <v>1</v>
      </c>
      <c r="C10" s="1" t="s">
        <v>56</v>
      </c>
      <c r="D10" s="1" t="s">
        <v>48</v>
      </c>
      <c r="E10" s="2" t="s">
        <v>17</v>
      </c>
      <c r="F10" s="4">
        <v>20.96</v>
      </c>
      <c r="G10" s="4">
        <f t="shared" si="0"/>
        <v>20.96</v>
      </c>
    </row>
    <row r="11" spans="1:7" ht="28.8" x14ac:dyDescent="0.3">
      <c r="A11" s="1" t="s">
        <v>18</v>
      </c>
      <c r="B11" s="7">
        <v>10</v>
      </c>
      <c r="C11" s="1" t="s">
        <v>58</v>
      </c>
      <c r="D11" s="1" t="s">
        <v>47</v>
      </c>
      <c r="E11" s="2" t="s">
        <v>19</v>
      </c>
      <c r="F11" s="4">
        <v>4.04</v>
      </c>
      <c r="G11" s="4">
        <f t="shared" si="0"/>
        <v>40.4</v>
      </c>
    </row>
    <row r="12" spans="1:7" ht="43.2" x14ac:dyDescent="0.3">
      <c r="A12" s="1" t="s">
        <v>20</v>
      </c>
      <c r="B12" s="7">
        <v>1</v>
      </c>
      <c r="C12" s="1" t="s">
        <v>59</v>
      </c>
      <c r="D12" s="1" t="s">
        <v>47</v>
      </c>
      <c r="E12" s="2" t="s">
        <v>21</v>
      </c>
      <c r="F12" s="4">
        <v>108.77</v>
      </c>
      <c r="G12" s="4">
        <f t="shared" si="0"/>
        <v>108.77</v>
      </c>
    </row>
    <row r="13" spans="1:7" ht="28.8" x14ac:dyDescent="0.3">
      <c r="A13" s="1" t="s">
        <v>62</v>
      </c>
      <c r="B13" s="7">
        <v>4</v>
      </c>
      <c r="C13" s="1" t="s">
        <v>57</v>
      </c>
      <c r="D13" s="1" t="s">
        <v>47</v>
      </c>
      <c r="E13" s="2" t="s">
        <v>61</v>
      </c>
      <c r="F13" s="4">
        <v>2.4</v>
      </c>
      <c r="G13" s="4">
        <f>B13*F13</f>
        <v>9.6</v>
      </c>
    </row>
    <row r="14" spans="1:7" x14ac:dyDescent="0.3">
      <c r="A14" s="1" t="s">
        <v>63</v>
      </c>
      <c r="B14" s="7">
        <v>3</v>
      </c>
      <c r="C14" s="1" t="s">
        <v>66</v>
      </c>
      <c r="D14" s="1" t="s">
        <v>45</v>
      </c>
      <c r="E14" s="2" t="s">
        <v>65</v>
      </c>
      <c r="F14" s="4">
        <v>2.5</v>
      </c>
      <c r="G14" s="4">
        <f>B14*F14</f>
        <v>7.5</v>
      </c>
    </row>
    <row r="15" spans="1:7" ht="28.8" x14ac:dyDescent="0.3">
      <c r="A15" s="1" t="s">
        <v>71</v>
      </c>
      <c r="B15" s="7">
        <v>2</v>
      </c>
      <c r="C15" s="1" t="s">
        <v>97</v>
      </c>
      <c r="D15" s="1" t="s">
        <v>47</v>
      </c>
      <c r="E15" s="2" t="s">
        <v>72</v>
      </c>
      <c r="F15" s="4">
        <v>4.1399999999999997</v>
      </c>
      <c r="G15" s="4">
        <f>B15*F15</f>
        <v>8.2799999999999994</v>
      </c>
    </row>
    <row r="16" spans="1:7" x14ac:dyDescent="0.3">
      <c r="A16" s="1" t="s">
        <v>73</v>
      </c>
      <c r="B16" s="7">
        <v>2</v>
      </c>
      <c r="C16" s="1"/>
      <c r="D16" s="1" t="s">
        <v>47</v>
      </c>
      <c r="E16" s="2" t="s">
        <v>74</v>
      </c>
      <c r="F16" s="4">
        <v>3.48</v>
      </c>
      <c r="G16" s="4">
        <f>B16*F16</f>
        <v>6.96</v>
      </c>
    </row>
    <row r="18" spans="1:7" x14ac:dyDescent="0.3">
      <c r="A18" s="10" t="s">
        <v>52</v>
      </c>
      <c r="B18" s="10"/>
      <c r="C18" s="10"/>
      <c r="D18" s="10"/>
      <c r="E18" s="10"/>
      <c r="F18" s="10"/>
      <c r="G18" s="10"/>
    </row>
    <row r="19" spans="1:7" x14ac:dyDescent="0.3">
      <c r="A19" s="5" t="s">
        <v>76</v>
      </c>
      <c r="B19" s="5" t="s">
        <v>1</v>
      </c>
      <c r="C19" s="5" t="s">
        <v>2</v>
      </c>
      <c r="D19" s="5" t="s">
        <v>44</v>
      </c>
      <c r="E19" s="5" t="s">
        <v>3</v>
      </c>
      <c r="F19" s="6" t="s">
        <v>40</v>
      </c>
      <c r="G19" s="6" t="s">
        <v>41</v>
      </c>
    </row>
    <row r="20" spans="1:7" ht="28.8" x14ac:dyDescent="0.3">
      <c r="A20" s="1" t="s">
        <v>22</v>
      </c>
      <c r="B20" s="7">
        <v>1</v>
      </c>
      <c r="C20" s="1" t="s">
        <v>95</v>
      </c>
      <c r="D20" s="1" t="s">
        <v>49</v>
      </c>
      <c r="E20" s="2" t="s">
        <v>23</v>
      </c>
      <c r="F20" s="4">
        <v>9909.2999999999993</v>
      </c>
      <c r="G20" s="4">
        <f t="shared" ref="G20:G39" si="1">B20*F20</f>
        <v>9909.2999999999993</v>
      </c>
    </row>
    <row r="21" spans="1:7" ht="28.8" x14ac:dyDescent="0.3">
      <c r="A21" s="1" t="s">
        <v>122</v>
      </c>
      <c r="B21" s="7">
        <v>1</v>
      </c>
      <c r="C21" s="1" t="s">
        <v>124</v>
      </c>
      <c r="D21" s="1" t="s">
        <v>49</v>
      </c>
      <c r="E21" s="2" t="s">
        <v>24</v>
      </c>
      <c r="F21" s="4">
        <v>129.69999999999999</v>
      </c>
      <c r="G21" s="4">
        <f t="shared" si="1"/>
        <v>129.69999999999999</v>
      </c>
    </row>
    <row r="22" spans="1:7" ht="28.8" x14ac:dyDescent="0.3">
      <c r="A22" s="1" t="s">
        <v>123</v>
      </c>
      <c r="B22" s="7">
        <v>3</v>
      </c>
      <c r="C22" s="1" t="s">
        <v>125</v>
      </c>
      <c r="D22" s="1" t="s">
        <v>49</v>
      </c>
      <c r="E22" s="2" t="s">
        <v>25</v>
      </c>
      <c r="F22" s="4">
        <v>134.5</v>
      </c>
      <c r="G22" s="4">
        <f t="shared" si="1"/>
        <v>403.5</v>
      </c>
    </row>
    <row r="23" spans="1:7" ht="28.8" x14ac:dyDescent="0.3">
      <c r="A23" s="1" t="s">
        <v>104</v>
      </c>
      <c r="B23" s="7">
        <v>3</v>
      </c>
      <c r="C23" s="1" t="s">
        <v>106</v>
      </c>
      <c r="D23" s="1" t="s">
        <v>49</v>
      </c>
      <c r="E23" s="2" t="s">
        <v>105</v>
      </c>
      <c r="F23" s="4">
        <v>47.12</v>
      </c>
      <c r="G23" s="4">
        <f t="shared" si="1"/>
        <v>141.35999999999999</v>
      </c>
    </row>
    <row r="24" spans="1:7" ht="28.8" x14ac:dyDescent="0.3">
      <c r="A24" s="1" t="s">
        <v>107</v>
      </c>
      <c r="B24" s="7">
        <v>1</v>
      </c>
      <c r="C24" s="1" t="s">
        <v>109</v>
      </c>
      <c r="D24" s="1" t="s">
        <v>49</v>
      </c>
      <c r="E24" s="2" t="s">
        <v>108</v>
      </c>
      <c r="F24" s="4">
        <v>69.47</v>
      </c>
      <c r="G24" s="4">
        <f t="shared" si="1"/>
        <v>69.47</v>
      </c>
    </row>
    <row r="25" spans="1:7" ht="28.8" x14ac:dyDescent="0.3">
      <c r="A25" s="1" t="s">
        <v>111</v>
      </c>
      <c r="B25" s="7">
        <v>1</v>
      </c>
      <c r="C25" s="1" t="s">
        <v>112</v>
      </c>
      <c r="D25" s="1" t="s">
        <v>49</v>
      </c>
      <c r="E25" s="2" t="s">
        <v>110</v>
      </c>
      <c r="F25" s="4">
        <v>8</v>
      </c>
      <c r="G25" s="4">
        <f t="shared" si="1"/>
        <v>8</v>
      </c>
    </row>
    <row r="26" spans="1:7" ht="28.8" x14ac:dyDescent="0.3">
      <c r="A26" s="1" t="s">
        <v>113</v>
      </c>
      <c r="B26" s="7">
        <v>1</v>
      </c>
      <c r="C26" s="1"/>
      <c r="D26" s="1" t="s">
        <v>49</v>
      </c>
      <c r="E26" s="2" t="s">
        <v>114</v>
      </c>
      <c r="F26" s="4">
        <v>44.88</v>
      </c>
      <c r="G26" s="4">
        <f t="shared" si="1"/>
        <v>44.88</v>
      </c>
    </row>
    <row r="27" spans="1:7" x14ac:dyDescent="0.3">
      <c r="A27" s="1" t="s">
        <v>120</v>
      </c>
      <c r="B27" s="7"/>
      <c r="C27" s="1"/>
      <c r="D27" s="1"/>
      <c r="E27" s="2"/>
      <c r="F27" s="4"/>
      <c r="G27" s="4"/>
    </row>
    <row r="28" spans="1:7" ht="28.8" x14ac:dyDescent="0.3">
      <c r="A28" s="1" t="s">
        <v>26</v>
      </c>
      <c r="B28" s="7">
        <v>3</v>
      </c>
      <c r="C28" s="1" t="s">
        <v>96</v>
      </c>
      <c r="D28" s="1" t="s">
        <v>49</v>
      </c>
      <c r="E28" s="2" t="s">
        <v>27</v>
      </c>
      <c r="F28" s="4">
        <v>141.9</v>
      </c>
      <c r="G28" s="4">
        <f t="shared" si="1"/>
        <v>425.70000000000005</v>
      </c>
    </row>
    <row r="29" spans="1:7" ht="43.2" x14ac:dyDescent="0.3">
      <c r="A29" s="1" t="s">
        <v>28</v>
      </c>
      <c r="B29" s="7">
        <v>1</v>
      </c>
      <c r="C29" s="1"/>
      <c r="D29" s="1" t="s">
        <v>48</v>
      </c>
      <c r="E29" s="2" t="s">
        <v>29</v>
      </c>
      <c r="F29" s="4">
        <v>499.89</v>
      </c>
      <c r="G29" s="4">
        <f t="shared" si="1"/>
        <v>499.89</v>
      </c>
    </row>
    <row r="30" spans="1:7" ht="43.2" x14ac:dyDescent="0.3">
      <c r="A30" s="1" t="s">
        <v>30</v>
      </c>
      <c r="B30" s="7">
        <v>3</v>
      </c>
      <c r="C30" s="1"/>
      <c r="D30" s="1" t="s">
        <v>48</v>
      </c>
      <c r="E30" s="2" t="s">
        <v>31</v>
      </c>
      <c r="F30" s="4">
        <v>499.99</v>
      </c>
      <c r="G30" s="4">
        <f t="shared" si="1"/>
        <v>1499.97</v>
      </c>
    </row>
    <row r="31" spans="1:7" ht="28.8" x14ac:dyDescent="0.3">
      <c r="A31" s="1" t="s">
        <v>68</v>
      </c>
      <c r="B31" s="7">
        <v>5</v>
      </c>
      <c r="C31" s="1" t="s">
        <v>69</v>
      </c>
      <c r="D31" s="1" t="s">
        <v>49</v>
      </c>
      <c r="E31" s="2" t="s">
        <v>70</v>
      </c>
      <c r="F31" s="4">
        <v>30.1</v>
      </c>
      <c r="G31" s="4">
        <f t="shared" si="1"/>
        <v>150.5</v>
      </c>
    </row>
    <row r="32" spans="1:7" ht="28.8" x14ac:dyDescent="0.3">
      <c r="A32" s="1" t="s">
        <v>32</v>
      </c>
      <c r="B32" s="7">
        <v>1</v>
      </c>
      <c r="C32" s="1" t="s">
        <v>117</v>
      </c>
      <c r="D32" s="1" t="s">
        <v>49</v>
      </c>
      <c r="E32" s="2" t="s">
        <v>33</v>
      </c>
      <c r="F32" s="4">
        <v>42.9</v>
      </c>
      <c r="G32" s="4">
        <f t="shared" si="1"/>
        <v>42.9</v>
      </c>
    </row>
    <row r="33" spans="1:7" x14ac:dyDescent="0.3">
      <c r="A33" s="1" t="s">
        <v>34</v>
      </c>
      <c r="B33" s="7">
        <v>1</v>
      </c>
      <c r="C33" s="1" t="s">
        <v>116</v>
      </c>
      <c r="D33" s="1" t="s">
        <v>47</v>
      </c>
      <c r="E33" s="2" t="s">
        <v>35</v>
      </c>
      <c r="F33" s="4">
        <v>76.03</v>
      </c>
      <c r="G33" s="4">
        <f t="shared" si="1"/>
        <v>76.03</v>
      </c>
    </row>
    <row r="34" spans="1:7" ht="28.8" x14ac:dyDescent="0.3">
      <c r="A34" s="1" t="s">
        <v>119</v>
      </c>
      <c r="B34" s="7">
        <v>1</v>
      </c>
      <c r="C34" s="1" t="s">
        <v>128</v>
      </c>
      <c r="D34" s="1" t="s">
        <v>49</v>
      </c>
      <c r="E34" s="2" t="s">
        <v>126</v>
      </c>
      <c r="F34" s="4">
        <v>39.08</v>
      </c>
      <c r="G34" s="4">
        <f t="shared" si="1"/>
        <v>39.08</v>
      </c>
    </row>
    <row r="35" spans="1:7" ht="28.8" x14ac:dyDescent="0.3">
      <c r="A35" s="1" t="s">
        <v>121</v>
      </c>
      <c r="B35" s="7">
        <v>1</v>
      </c>
      <c r="C35" s="1" t="s">
        <v>129</v>
      </c>
      <c r="D35" s="1" t="s">
        <v>49</v>
      </c>
      <c r="E35" s="2" t="s">
        <v>127</v>
      </c>
      <c r="F35" s="4">
        <v>21.5</v>
      </c>
      <c r="G35" s="4">
        <f t="shared" si="1"/>
        <v>21.5</v>
      </c>
    </row>
    <row r="36" spans="1:7" ht="28.8" x14ac:dyDescent="0.3">
      <c r="A36" s="1" t="s">
        <v>130</v>
      </c>
      <c r="B36" s="7">
        <v>1</v>
      </c>
      <c r="C36" s="1" t="s">
        <v>132</v>
      </c>
      <c r="D36" s="1" t="s">
        <v>49</v>
      </c>
      <c r="E36" s="2" t="s">
        <v>131</v>
      </c>
      <c r="F36" s="4">
        <v>6.4</v>
      </c>
      <c r="G36" s="4">
        <f t="shared" si="1"/>
        <v>6.4</v>
      </c>
    </row>
    <row r="37" spans="1:7" x14ac:dyDescent="0.3">
      <c r="A37" s="1" t="s">
        <v>36</v>
      </c>
      <c r="B37" s="7">
        <v>3</v>
      </c>
      <c r="C37" s="1" t="s">
        <v>118</v>
      </c>
      <c r="D37" s="1" t="s">
        <v>46</v>
      </c>
      <c r="E37" s="2" t="s">
        <v>37</v>
      </c>
      <c r="F37" s="4">
        <v>79.569999999999993</v>
      </c>
      <c r="G37" s="4">
        <f t="shared" si="1"/>
        <v>238.70999999999998</v>
      </c>
    </row>
    <row r="38" spans="1:7" x14ac:dyDescent="0.3">
      <c r="A38" s="1" t="s">
        <v>101</v>
      </c>
      <c r="B38" s="7">
        <v>3</v>
      </c>
      <c r="C38" s="1" t="s">
        <v>103</v>
      </c>
      <c r="D38" s="1" t="s">
        <v>47</v>
      </c>
      <c r="E38" s="2" t="s">
        <v>102</v>
      </c>
      <c r="F38" s="4"/>
      <c r="G38" s="4"/>
    </row>
    <row r="39" spans="1:7" x14ac:dyDescent="0.3">
      <c r="A39" s="1" t="s">
        <v>98</v>
      </c>
      <c r="B39" s="7">
        <v>45</v>
      </c>
      <c r="D39" s="1" t="s">
        <v>100</v>
      </c>
      <c r="E39" s="12" t="s">
        <v>99</v>
      </c>
      <c r="F39" s="4">
        <v>0.53</v>
      </c>
      <c r="G39" s="4">
        <f t="shared" si="1"/>
        <v>23.85</v>
      </c>
    </row>
    <row r="40" spans="1:7" x14ac:dyDescent="0.3">
      <c r="A40" s="1"/>
      <c r="B40" s="7"/>
      <c r="C40" s="1"/>
      <c r="D40" s="1"/>
      <c r="E40" s="2"/>
      <c r="F40" s="4"/>
      <c r="G40" s="4"/>
    </row>
    <row r="41" spans="1:7" x14ac:dyDescent="0.3">
      <c r="A41" s="11" t="s">
        <v>75</v>
      </c>
      <c r="B41" s="11"/>
      <c r="C41" s="11"/>
      <c r="D41" s="11"/>
      <c r="E41" s="11"/>
      <c r="F41" s="11"/>
      <c r="G41" s="11"/>
    </row>
    <row r="42" spans="1:7" x14ac:dyDescent="0.3">
      <c r="A42" s="5" t="s">
        <v>0</v>
      </c>
      <c r="B42" s="5" t="s">
        <v>1</v>
      </c>
      <c r="C42" s="5" t="s">
        <v>2</v>
      </c>
      <c r="D42" s="5" t="s">
        <v>44</v>
      </c>
      <c r="E42" s="5" t="s">
        <v>3</v>
      </c>
      <c r="F42" s="6" t="s">
        <v>40</v>
      </c>
      <c r="G42" s="6" t="s">
        <v>41</v>
      </c>
    </row>
    <row r="43" spans="1:7" x14ac:dyDescent="0.3">
      <c r="A43" s="1" t="s">
        <v>77</v>
      </c>
      <c r="B43" s="7">
        <v>1</v>
      </c>
      <c r="C43" s="1" t="s">
        <v>79</v>
      </c>
      <c r="D43" s="1" t="s">
        <v>93</v>
      </c>
      <c r="E43" s="1" t="s">
        <v>115</v>
      </c>
      <c r="F43" s="1" t="s">
        <v>94</v>
      </c>
    </row>
    <row r="44" spans="1:7" x14ac:dyDescent="0.3">
      <c r="A44" s="1" t="s">
        <v>78</v>
      </c>
      <c r="B44" s="7">
        <v>2</v>
      </c>
      <c r="C44" s="1" t="s">
        <v>80</v>
      </c>
      <c r="D44" s="1" t="s">
        <v>93</v>
      </c>
      <c r="E44" s="1" t="s">
        <v>115</v>
      </c>
      <c r="F44" s="1" t="s">
        <v>94</v>
      </c>
    </row>
    <row r="45" spans="1:7" x14ac:dyDescent="0.3">
      <c r="A45" s="1" t="s">
        <v>81</v>
      </c>
      <c r="B45" s="7">
        <v>1</v>
      </c>
      <c r="C45" t="s">
        <v>79</v>
      </c>
      <c r="D45" s="1" t="s">
        <v>93</v>
      </c>
      <c r="E45" s="1" t="s">
        <v>115</v>
      </c>
      <c r="F45" t="s">
        <v>94</v>
      </c>
    </row>
    <row r="46" spans="1:7" x14ac:dyDescent="0.3">
      <c r="A46" s="1" t="s">
        <v>82</v>
      </c>
      <c r="B46" s="8">
        <v>1</v>
      </c>
      <c r="C46" t="s">
        <v>79</v>
      </c>
      <c r="D46" s="1" t="s">
        <v>93</v>
      </c>
      <c r="E46" s="1" t="s">
        <v>115</v>
      </c>
      <c r="F46" t="s">
        <v>94</v>
      </c>
    </row>
    <row r="47" spans="1:7" x14ac:dyDescent="0.3">
      <c r="A47" s="1" t="s">
        <v>83</v>
      </c>
      <c r="B47" s="8">
        <v>1</v>
      </c>
      <c r="C47" t="s">
        <v>79</v>
      </c>
      <c r="D47" s="1" t="s">
        <v>93</v>
      </c>
      <c r="E47" s="1" t="s">
        <v>115</v>
      </c>
      <c r="F47" t="s">
        <v>94</v>
      </c>
    </row>
    <row r="48" spans="1:7" x14ac:dyDescent="0.3">
      <c r="A48" s="1" t="s">
        <v>84</v>
      </c>
      <c r="B48" s="8">
        <v>7</v>
      </c>
      <c r="C48" t="s">
        <v>85</v>
      </c>
      <c r="D48" s="1" t="s">
        <v>93</v>
      </c>
      <c r="E48" s="1" t="s">
        <v>115</v>
      </c>
      <c r="F48" t="s">
        <v>94</v>
      </c>
    </row>
    <row r="49" spans="1:7" x14ac:dyDescent="0.3">
      <c r="A49" s="1" t="s">
        <v>86</v>
      </c>
      <c r="B49" s="8">
        <v>1</v>
      </c>
      <c r="C49" t="s">
        <v>87</v>
      </c>
      <c r="D49" s="1" t="s">
        <v>93</v>
      </c>
      <c r="E49" s="1" t="s">
        <v>115</v>
      </c>
      <c r="F49" t="s">
        <v>94</v>
      </c>
    </row>
    <row r="50" spans="1:7" x14ac:dyDescent="0.3">
      <c r="A50" s="1" t="s">
        <v>88</v>
      </c>
      <c r="B50" s="8">
        <v>1</v>
      </c>
      <c r="C50" t="s">
        <v>92</v>
      </c>
      <c r="D50" s="1" t="s">
        <v>93</v>
      </c>
      <c r="E50" s="1" t="s">
        <v>115</v>
      </c>
      <c r="F50" t="s">
        <v>94</v>
      </c>
    </row>
    <row r="51" spans="1:7" x14ac:dyDescent="0.3">
      <c r="A51" s="1" t="s">
        <v>89</v>
      </c>
      <c r="B51" s="8">
        <v>2</v>
      </c>
      <c r="C51" t="s">
        <v>90</v>
      </c>
      <c r="D51" s="1" t="s">
        <v>93</v>
      </c>
      <c r="E51" s="1" t="s">
        <v>115</v>
      </c>
      <c r="F51" t="s">
        <v>94</v>
      </c>
    </row>
    <row r="52" spans="1:7" x14ac:dyDescent="0.3">
      <c r="A52" s="1" t="s">
        <v>91</v>
      </c>
      <c r="B52" s="8">
        <v>3</v>
      </c>
      <c r="C52" t="s">
        <v>92</v>
      </c>
      <c r="D52" s="1" t="s">
        <v>93</v>
      </c>
      <c r="E52" s="1" t="s">
        <v>115</v>
      </c>
      <c r="F52" t="s">
        <v>94</v>
      </c>
    </row>
    <row r="53" spans="1:7" x14ac:dyDescent="0.3">
      <c r="F53" s="3" t="s">
        <v>42</v>
      </c>
      <c r="G53" s="4">
        <f>SUM(G4:G16)+SUM(G20:G39)</f>
        <v>14270.329999999998</v>
      </c>
    </row>
    <row r="54" spans="1:7" x14ac:dyDescent="0.3">
      <c r="F54" s="3" t="s">
        <v>43</v>
      </c>
      <c r="G54" s="4">
        <f>G53-G20</f>
        <v>4361.0299999999988</v>
      </c>
    </row>
  </sheetData>
  <mergeCells count="3">
    <mergeCell ref="A1:G1"/>
    <mergeCell ref="A18:G18"/>
    <mergeCell ref="A41:G41"/>
  </mergeCells>
  <hyperlinks>
    <hyperlink ref="E4" r:id="rId1" location="length" display="https://ooznest.co.uk/product/mini-v-linear-actuator-kit/ - length" xr:uid="{F79150CF-DAC7-4B54-BFCA-F7272E48DA5D}"/>
    <hyperlink ref="E6" r:id="rId2" xr:uid="{09957BCA-7FE3-4963-AF07-8FB1694ECF90}"/>
    <hyperlink ref="E7" r:id="rId3" xr:uid="{8B6175BC-F0B4-4C69-ADC7-C1DE8968F416}"/>
    <hyperlink ref="E8" r:id="rId4" xr:uid="{DA4B6BF8-0403-4FB8-838E-D0734D6166DB}"/>
    <hyperlink ref="E9" r:id="rId5" xr:uid="{24219839-E58E-40F0-B857-C1643BCCB04A}"/>
    <hyperlink ref="E10" r:id="rId6" xr:uid="{97AA0066-580A-4661-AD1A-DECB82DC1EC3}"/>
    <hyperlink ref="E11" r:id="rId7" xr:uid="{F99B5A96-1237-4A87-8D5B-D26D53B22202}"/>
    <hyperlink ref="E12" r:id="rId8" xr:uid="{70B5CD32-E837-4EFE-BBF9-A60C7BB7F9D3}"/>
    <hyperlink ref="E20" r:id="rId9" xr:uid="{C55896D0-22C3-4096-9BD6-A7A10BCC04FC}"/>
    <hyperlink ref="E21" r:id="rId10" xr:uid="{07FF4404-0227-43A0-8036-024F98F91BE2}"/>
    <hyperlink ref="E22" r:id="rId11" xr:uid="{CB4E9AEF-B3E9-414E-B696-CEC7B55345F5}"/>
    <hyperlink ref="E29" r:id="rId12" xr:uid="{A747C3F8-61B4-4661-A362-F2745046EE7C}"/>
    <hyperlink ref="E30" r:id="rId13" xr:uid="{44F3515E-0B12-40AF-B61A-AE69700073B4}"/>
    <hyperlink ref="E32" r:id="rId14" xr:uid="{E8FE3B60-E46A-4768-A17E-337F2D6CDE25}"/>
    <hyperlink ref="E33" r:id="rId15" xr:uid="{C4C9CCE2-00AC-4134-9CCE-3DC781394C1F}"/>
    <hyperlink ref="E37" r:id="rId16" xr:uid="{3C21BF5A-30A3-41D0-B43A-0BAB0040DBE4}"/>
    <hyperlink ref="E3" r:id="rId17" xr:uid="{03B9BD12-BF55-47B4-A25B-0C34582D9270}"/>
    <hyperlink ref="E28" r:id="rId18" xr:uid="{D10ABFB2-C71B-4A86-9186-C637CCA039D7}"/>
    <hyperlink ref="E13" r:id="rId19" xr:uid="{7BE7A4F6-DAE4-4AC9-8D07-EB9F7FB03039}"/>
    <hyperlink ref="E14" r:id="rId20" xr:uid="{EDC53A2E-98AA-46C9-AA84-9F3552826DD0}"/>
    <hyperlink ref="E31" r:id="rId21" xr:uid="{B7E0054A-E685-42CF-8E00-446348CD29E1}"/>
    <hyperlink ref="E15" r:id="rId22" xr:uid="{0700481D-CBA2-43AE-AE3F-570A2DD27D35}"/>
    <hyperlink ref="E16" r:id="rId23" xr:uid="{BA4381B8-E403-4F98-85C1-FC9D5A5F51D8}"/>
    <hyperlink ref="E39" r:id="rId24" xr:uid="{2319B2C0-939F-430D-A65B-0557BF1B20FB}"/>
    <hyperlink ref="E38" r:id="rId25" xr:uid="{E612F786-4371-4855-BC19-DFC382B35A82}"/>
    <hyperlink ref="E23" r:id="rId26" xr:uid="{F10A7B5B-128D-4186-A6ED-A43DA1D70FFD}"/>
    <hyperlink ref="E24" r:id="rId27" xr:uid="{3809FED6-2825-4783-9E79-7AE0CA28FC4D}"/>
    <hyperlink ref="E25" r:id="rId28" xr:uid="{8B2C76A6-2CC1-4020-840D-C147B5F1BE7B}"/>
    <hyperlink ref="E26" r:id="rId29" xr:uid="{0EB637BB-27B8-4033-87D6-50BD59894ADC}"/>
    <hyperlink ref="E34" r:id="rId30" xr:uid="{D26D9902-A26C-49A8-A767-FD1E1F423264}"/>
    <hyperlink ref="E35" r:id="rId31" xr:uid="{9F5DE74B-867D-451E-A471-2BE3784EA22B}"/>
    <hyperlink ref="E36" r:id="rId32" xr:uid="{DCBAB8D0-3CF4-4FBD-9AC3-3389DE3971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Diggines, Bradley</dc:creator>
  <cp:lastModifiedBy>Bradley Diggines</cp:lastModifiedBy>
  <dcterms:created xsi:type="dcterms:W3CDTF">2026-02-18T14:13:55Z</dcterms:created>
  <dcterms:modified xsi:type="dcterms:W3CDTF">2026-08-14T19:50:36Z</dcterms:modified>
</cp:coreProperties>
</file>